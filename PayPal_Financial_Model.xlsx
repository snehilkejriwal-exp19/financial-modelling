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IL KEJRIWAL\Desktop\WORK WORK WORK\Projects\Project 3_Financial Modelling\"/>
    </mc:Choice>
  </mc:AlternateContent>
  <xr:revisionPtr revIDLastSave="0" documentId="13_ncr:1_{7E9B87CC-1861-455E-B0D3-C365D00FD43C}" xr6:coauthVersionLast="47" xr6:coauthVersionMax="47" xr10:uidLastSave="{00000000-0000-0000-0000-000000000000}"/>
  <bookViews>
    <workbookView xWindow="-108" yWindow="-108" windowWidth="23256" windowHeight="12456" activeTab="2" xr2:uid="{520A4B0C-D1FE-4B1B-B4B9-0F14CDB0603C}"/>
  </bookViews>
  <sheets>
    <sheet name="Income Statement" sheetId="1" r:id="rId1"/>
    <sheet name="Balance Sheet" sheetId="2" r:id="rId2"/>
    <sheet name="Cash Flow" sheetId="3" r:id="rId3"/>
    <sheet name="Summary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3" i="4"/>
  <c r="C4" i="4"/>
  <c r="D4" i="4"/>
  <c r="B4" i="4"/>
  <c r="C3" i="4"/>
  <c r="D3" i="4"/>
  <c r="B3" i="4"/>
  <c r="C9" i="4"/>
  <c r="D9" i="4"/>
  <c r="B9" i="4"/>
  <c r="C8" i="4"/>
  <c r="D8" i="4"/>
  <c r="B8" i="4"/>
  <c r="C7" i="4"/>
  <c r="D7" i="4"/>
  <c r="B7" i="4"/>
  <c r="C6" i="4"/>
  <c r="D6" i="4"/>
  <c r="B6" i="4"/>
  <c r="C5" i="4"/>
  <c r="D5" i="4"/>
  <c r="B5" i="4"/>
  <c r="C8" i="3"/>
  <c r="D8" i="3"/>
  <c r="B8" i="3"/>
  <c r="C7" i="3"/>
  <c r="D7" i="3"/>
  <c r="B7" i="3"/>
  <c r="C5" i="3"/>
  <c r="D5" i="3"/>
  <c r="B5" i="3"/>
  <c r="C9" i="2"/>
  <c r="D9" i="2"/>
  <c r="B9" i="2"/>
  <c r="C5" i="2"/>
  <c r="D5" i="2"/>
  <c r="B5" i="2"/>
  <c r="C11" i="1"/>
  <c r="D11" i="1"/>
  <c r="B11" i="1"/>
  <c r="C10" i="1"/>
  <c r="D10" i="1"/>
  <c r="B10" i="1"/>
  <c r="B7" i="1"/>
  <c r="B12" i="1" s="1"/>
  <c r="C7" i="1"/>
  <c r="C12" i="1" s="1"/>
  <c r="D7" i="1"/>
  <c r="D12" i="1" s="1"/>
  <c r="C5" i="1"/>
  <c r="D5" i="1"/>
  <c r="B5" i="1"/>
</calcChain>
</file>

<file path=xl/sharedStrings.xml><?xml version="1.0" encoding="utf-8"?>
<sst xmlns="http://schemas.openxmlformats.org/spreadsheetml/2006/main" count="33" uniqueCount="28">
  <si>
    <t>Revenue</t>
  </si>
  <si>
    <t>COGS</t>
  </si>
  <si>
    <t>Gross Profit</t>
  </si>
  <si>
    <t>Operating Exp</t>
  </si>
  <si>
    <t>EBIT</t>
  </si>
  <si>
    <t>Net Income</t>
  </si>
  <si>
    <t>Gross Margin</t>
  </si>
  <si>
    <t>Net Margin</t>
  </si>
  <si>
    <t>EBIT Margin</t>
  </si>
  <si>
    <t>PayPal Holdings - Income Statement ($ Millions)</t>
  </si>
  <si>
    <t>PayPal Holdings - Balance Sheet ($ Millions)</t>
  </si>
  <si>
    <t>Total Assets</t>
  </si>
  <si>
    <t>Total Liabilities</t>
  </si>
  <si>
    <t>Shareholders Equity</t>
  </si>
  <si>
    <t>Total Debt</t>
  </si>
  <si>
    <t>Cash &amp; Equivalent</t>
  </si>
  <si>
    <t>Debt/Equity Ratio</t>
  </si>
  <si>
    <t>Current Ratio</t>
  </si>
  <si>
    <t>PayPal Holdings - Cash Flow ($ Millions)</t>
  </si>
  <si>
    <t>Operating Cash Flow</t>
  </si>
  <si>
    <t>Capital Expenditure</t>
  </si>
  <si>
    <t>Free Cash Flow</t>
  </si>
  <si>
    <t>FCF Margin</t>
  </si>
  <si>
    <t>FCF Conversion</t>
  </si>
  <si>
    <t>PayPal Holdings - Financial Summary ($ Millions)</t>
  </si>
  <si>
    <t>FCF</t>
  </si>
  <si>
    <t>Debt/Equity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</si>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</sst>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D0C1-3B5C-411F-B464-D87B6E4E7C56}">
  <dimension ref="A1:D12"/>
  <sheetViews>
    <sheetView workbookViewId="0">
      <selection activeCell="H21" sqref="H21"/>
    </sheetView>
  </sheetViews>
  <sheetFormatPr defaultRowHeight="14.4" x14ac:dyDescent="0.3"/>
  <cols>
    <col min="1" max="1" width="22.5546875" customWidth="1"/>
    <col min="2" max="2" width="20.109375" customWidth="1"/>
    <col min="3" max="3" width="21" customWidth="1"/>
    <col min="4" max="4" width="20.6640625" customWidth="1"/>
  </cols>
  <sheetData>
    <row r="1" spans="1:4" x14ac:dyDescent="0.3">
      <c r="A1" s="2" t="s">
        <v>9</v>
      </c>
      <c r="B1" s="2"/>
      <c r="C1" s="2"/>
      <c r="D1" s="2"/>
    </row>
    <row r="2" spans="1:4" x14ac:dyDescent="0.3">
      <c r="B2">
        <v>2023</v>
      </c>
      <c r="C2">
        <v>2024</v>
      </c>
      <c r="D2">
        <v>2025</v>
      </c>
    </row>
    <row r="3" spans="1:4" x14ac:dyDescent="0.3">
      <c r="A3" t="s">
        <v>0</v>
      </c>
      <c r="B3">
        <v>29771</v>
      </c>
      <c r="C3">
        <v>31797</v>
      </c>
      <c r="D3">
        <v>33172</v>
      </c>
    </row>
    <row r="4" spans="1:4" x14ac:dyDescent="0.3">
      <c r="A4" t="s">
        <v>1</v>
      </c>
      <c r="B4">
        <v>16067</v>
      </c>
      <c r="C4">
        <v>17139</v>
      </c>
      <c r="D4">
        <v>17707</v>
      </c>
    </row>
    <row r="5" spans="1:4" x14ac:dyDescent="0.3">
      <c r="A5" t="s">
        <v>2</v>
      </c>
      <c r="B5">
        <f>B3-B4</f>
        <v>13704</v>
      </c>
      <c r="C5">
        <f t="shared" ref="C5:D5" si="0">C3-C4</f>
        <v>14658</v>
      </c>
      <c r="D5">
        <f t="shared" si="0"/>
        <v>15465</v>
      </c>
    </row>
    <row r="6" spans="1:4" x14ac:dyDescent="0.3">
      <c r="A6" t="s">
        <v>3</v>
      </c>
      <c r="B6">
        <v>8760</v>
      </c>
      <c r="C6">
        <v>8895</v>
      </c>
      <c r="D6">
        <v>9069</v>
      </c>
    </row>
    <row r="7" spans="1:4" x14ac:dyDescent="0.3">
      <c r="A7" t="s">
        <v>4</v>
      </c>
      <c r="B7">
        <f>B5-B6</f>
        <v>4944</v>
      </c>
      <c r="C7">
        <f>C5-C6</f>
        <v>5763</v>
      </c>
      <c r="D7">
        <f>D5-D6</f>
        <v>6396</v>
      </c>
    </row>
    <row r="8" spans="1:4" x14ac:dyDescent="0.3">
      <c r="A8" t="s">
        <v>5</v>
      </c>
      <c r="B8">
        <v>4246</v>
      </c>
      <c r="C8">
        <v>4147</v>
      </c>
      <c r="D8">
        <v>5233</v>
      </c>
    </row>
    <row r="10" spans="1:4" x14ac:dyDescent="0.3">
      <c r="A10" s="1" t="s">
        <v>6</v>
      </c>
      <c r="B10" s="1">
        <f>B5/B3</f>
        <v>0.46031372812468507</v>
      </c>
      <c r="C10" s="1">
        <f t="shared" ref="C10:D10" si="1">C5/C3</f>
        <v>0.46098688555524103</v>
      </c>
      <c r="D10" s="1">
        <f t="shared" si="1"/>
        <v>0.46620643916556131</v>
      </c>
    </row>
    <row r="11" spans="1:4" x14ac:dyDescent="0.3">
      <c r="A11" s="1" t="s">
        <v>7</v>
      </c>
      <c r="B11" s="1">
        <f>B8/B3</f>
        <v>0.14262201471230393</v>
      </c>
      <c r="C11" s="1">
        <f t="shared" ref="C11:D11" si="2">C8/C3</f>
        <v>0.13042110890964556</v>
      </c>
      <c r="D11" s="1">
        <f t="shared" si="2"/>
        <v>0.15775352707102375</v>
      </c>
    </row>
    <row r="12" spans="1:4" x14ac:dyDescent="0.3">
      <c r="A12" s="1" t="s">
        <v>8</v>
      </c>
      <c r="B12" s="1">
        <f>B7/B3</f>
        <v>0.16606764972624366</v>
      </c>
      <c r="C12" s="1">
        <f t="shared" ref="C12:D12" si="3">C7/C3</f>
        <v>0.18124351353901311</v>
      </c>
      <c r="D12" s="1">
        <f t="shared" si="3"/>
        <v>0.19281321596527193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917B-AB89-490D-92A6-2D319B427156}">
  <dimension ref="A1:D10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12.33203125" customWidth="1"/>
    <col min="3" max="3" width="13.33203125" customWidth="1"/>
    <col min="4" max="4" width="12.5546875" customWidth="1"/>
  </cols>
  <sheetData>
    <row r="1" spans="1:4" x14ac:dyDescent="0.3">
      <c r="A1" s="2" t="s">
        <v>10</v>
      </c>
      <c r="B1" s="2"/>
      <c r="C1" s="2"/>
      <c r="D1" s="2"/>
    </row>
    <row r="2" spans="1:4" x14ac:dyDescent="0.3">
      <c r="B2">
        <v>2023</v>
      </c>
      <c r="C2">
        <v>2024</v>
      </c>
      <c r="D2">
        <v>2025</v>
      </c>
    </row>
    <row r="3" spans="1:4" x14ac:dyDescent="0.3">
      <c r="A3" t="s">
        <v>11</v>
      </c>
      <c r="B3">
        <v>82166</v>
      </c>
      <c r="C3">
        <v>78725</v>
      </c>
      <c r="D3">
        <v>80173</v>
      </c>
    </row>
    <row r="4" spans="1:4" x14ac:dyDescent="0.3">
      <c r="A4" t="s">
        <v>12</v>
      </c>
      <c r="B4">
        <v>61115</v>
      </c>
      <c r="C4">
        <v>58308</v>
      </c>
      <c r="D4">
        <v>59917</v>
      </c>
    </row>
    <row r="5" spans="1:4" x14ac:dyDescent="0.3">
      <c r="A5" t="s">
        <v>13</v>
      </c>
      <c r="B5">
        <f>B3-B4</f>
        <v>21051</v>
      </c>
      <c r="C5">
        <f t="shared" ref="C5:D5" si="0">C3-C4</f>
        <v>20417</v>
      </c>
      <c r="D5">
        <f t="shared" si="0"/>
        <v>20256</v>
      </c>
    </row>
    <row r="6" spans="1:4" x14ac:dyDescent="0.3">
      <c r="A6" t="s">
        <v>14</v>
      </c>
      <c r="B6">
        <v>9676</v>
      </c>
      <c r="C6">
        <v>9879</v>
      </c>
      <c r="D6">
        <v>9987</v>
      </c>
    </row>
    <row r="7" spans="1:4" x14ac:dyDescent="0.3">
      <c r="A7" t="s">
        <v>15</v>
      </c>
      <c r="B7">
        <v>9081</v>
      </c>
      <c r="C7">
        <v>6662</v>
      </c>
      <c r="D7">
        <v>8049</v>
      </c>
    </row>
    <row r="9" spans="1:4" x14ac:dyDescent="0.3">
      <c r="A9" t="s">
        <v>16</v>
      </c>
      <c r="B9" s="1">
        <f>B6/B5</f>
        <v>0.45964562253574653</v>
      </c>
      <c r="C9" s="1">
        <f t="shared" ref="C9:D9" si="1">C6/C5</f>
        <v>0.48386148797570649</v>
      </c>
      <c r="D9" s="1">
        <f t="shared" si="1"/>
        <v>0.49303909952606634</v>
      </c>
    </row>
    <row r="10" spans="1:4" x14ac:dyDescent="0.3">
      <c r="A10" t="s">
        <v>17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ACB9-32F7-4003-A524-71CA9B03274E}">
  <dimension ref="A1:D8"/>
  <sheetViews>
    <sheetView tabSelected="1" workbookViewId="0">
      <selection activeCell="D16" sqref="D16"/>
    </sheetView>
  </sheetViews>
  <sheetFormatPr defaultRowHeight="14.4" x14ac:dyDescent="0.3"/>
  <cols>
    <col min="1" max="1" width="19.109375" customWidth="1"/>
    <col min="2" max="2" width="17.33203125" customWidth="1"/>
    <col min="3" max="3" width="15.6640625" customWidth="1"/>
    <col min="4" max="4" width="16" customWidth="1"/>
  </cols>
  <sheetData>
    <row r="1" spans="1:4" x14ac:dyDescent="0.3">
      <c r="A1" s="1" t="s">
        <v>18</v>
      </c>
      <c r="B1" s="1"/>
      <c r="C1" s="1"/>
      <c r="D1" s="1"/>
    </row>
    <row r="2" spans="1:4" x14ac:dyDescent="0.3">
      <c r="B2">
        <v>2023</v>
      </c>
      <c r="C2">
        <v>2024</v>
      </c>
      <c r="D2">
        <v>2025</v>
      </c>
    </row>
    <row r="3" spans="1:4" x14ac:dyDescent="0.3">
      <c r="A3" t="s">
        <v>19</v>
      </c>
      <c r="B3">
        <v>4843</v>
      </c>
      <c r="C3">
        <v>7450</v>
      </c>
      <c r="D3">
        <v>6416</v>
      </c>
    </row>
    <row r="4" spans="1:4" x14ac:dyDescent="0.3">
      <c r="A4" t="s">
        <v>20</v>
      </c>
      <c r="B4">
        <v>623</v>
      </c>
      <c r="C4">
        <v>683</v>
      </c>
      <c r="D4">
        <v>852</v>
      </c>
    </row>
    <row r="5" spans="1:4" x14ac:dyDescent="0.3">
      <c r="A5" t="s">
        <v>21</v>
      </c>
      <c r="B5">
        <f>B3-B4</f>
        <v>4220</v>
      </c>
      <c r="C5">
        <f t="shared" ref="C5:D5" si="0">C3-C4</f>
        <v>6767</v>
      </c>
      <c r="D5">
        <f t="shared" si="0"/>
        <v>5564</v>
      </c>
    </row>
    <row r="7" spans="1:4" x14ac:dyDescent="0.3">
      <c r="A7" t="s">
        <v>22</v>
      </c>
      <c r="B7" s="1">
        <f>B5/'Income Statement'!B3</f>
        <v>0.14174868160290216</v>
      </c>
      <c r="C7" s="1">
        <f>C5/'Income Statement'!C3</f>
        <v>0.21281881938547662</v>
      </c>
      <c r="D7" s="1">
        <f>D5/'Income Statement'!D3</f>
        <v>0.16773182201856987</v>
      </c>
    </row>
    <row r="8" spans="1:4" x14ac:dyDescent="0.3">
      <c r="A8" t="s">
        <v>23</v>
      </c>
      <c r="B8" s="1">
        <f>B5/'Income Statement'!B8</f>
        <v>0.99387658973151205</v>
      </c>
      <c r="C8" s="1">
        <f>C5/'Income Statement'!C8</f>
        <v>1.631782011092356</v>
      </c>
      <c r="D8" s="1">
        <f>D5/'Income Statement'!D8</f>
        <v>1.063252436460921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E336-0AE1-4423-A83D-A81F838D7F7E}">
  <dimension ref="A1:E9"/>
  <sheetViews>
    <sheetView workbookViewId="0">
      <selection activeCell="D3" sqref="D3"/>
    </sheetView>
  </sheetViews>
  <sheetFormatPr defaultRowHeight="14.4" x14ac:dyDescent="0.3"/>
  <cols>
    <col min="1" max="1" width="18" customWidth="1"/>
    <col min="2" max="2" width="14.5546875" customWidth="1"/>
    <col min="3" max="3" width="12.88671875" customWidth="1"/>
    <col min="4" max="4" width="13.77734375" customWidth="1"/>
    <col min="5" max="5" width="15.33203125" customWidth="1"/>
  </cols>
  <sheetData>
    <row r="1" spans="1:5" x14ac:dyDescent="0.3">
      <c r="A1" s="2" t="s">
        <v>24</v>
      </c>
      <c r="B1" s="2"/>
      <c r="C1" s="2"/>
      <c r="D1" s="2"/>
    </row>
    <row r="2" spans="1:5" x14ac:dyDescent="0.3">
      <c r="B2">
        <v>2023</v>
      </c>
      <c r="C2">
        <v>2024</v>
      </c>
      <c r="D2">
        <v>2025</v>
      </c>
      <c r="E2" t="s">
        <v>27</v>
      </c>
    </row>
    <row r="3" spans="1:5" x14ac:dyDescent="0.3">
      <c r="A3" t="s">
        <v>0</v>
      </c>
      <c r="B3">
        <f>'Income Statement'!B3</f>
        <v>29771</v>
      </c>
      <c r="C3">
        <f>'Income Statement'!C3</f>
        <v>31797</v>
      </c>
      <c r="D3">
        <f>'Income Statement'!D3</f>
        <v>33172</v>
      </c>
      <c r="E3" s="1">
        <f>D3/B3-1</f>
        <v>0.11423868865674658</v>
      </c>
    </row>
    <row r="4" spans="1:5" x14ac:dyDescent="0.3">
      <c r="A4" t="s">
        <v>6</v>
      </c>
      <c r="B4" s="1">
        <f>'Income Statement'!B10</f>
        <v>0.46031372812468507</v>
      </c>
      <c r="C4" s="1">
        <f>'Income Statement'!C10</f>
        <v>0.46098688555524103</v>
      </c>
      <c r="D4" s="1">
        <f>'Income Statement'!D10</f>
        <v>0.46620643916556131</v>
      </c>
      <c r="E4" s="1">
        <f t="shared" ref="E4:E9" si="0">D4/B4-1</f>
        <v>1.2801510536918137E-2</v>
      </c>
    </row>
    <row r="5" spans="1:5" x14ac:dyDescent="0.3">
      <c r="A5" t="s">
        <v>8</v>
      </c>
      <c r="B5" s="1">
        <f>'Income Statement'!B12</f>
        <v>0.16606764972624366</v>
      </c>
      <c r="C5" s="1">
        <f>'Income Statement'!C12</f>
        <v>0.18124351353901311</v>
      </c>
      <c r="D5" s="1">
        <f>'Income Statement'!D12</f>
        <v>0.19281321596527193</v>
      </c>
      <c r="E5" s="1">
        <f t="shared" si="0"/>
        <v>0.16105223553845271</v>
      </c>
    </row>
    <row r="6" spans="1:5" x14ac:dyDescent="0.3">
      <c r="A6" t="s">
        <v>7</v>
      </c>
      <c r="B6" s="1">
        <f>'Income Statement'!B11</f>
        <v>0.14262201471230393</v>
      </c>
      <c r="C6" s="1">
        <f>'Income Statement'!C11</f>
        <v>0.13042110890964556</v>
      </c>
      <c r="D6" s="1">
        <f>'Income Statement'!D11</f>
        <v>0.15775352707102375</v>
      </c>
      <c r="E6" s="1">
        <f t="shared" si="0"/>
        <v>0.10609520829756192</v>
      </c>
    </row>
    <row r="7" spans="1:5" x14ac:dyDescent="0.3">
      <c r="A7" t="s">
        <v>25</v>
      </c>
      <c r="B7">
        <f>'Cash Flow'!B5</f>
        <v>4220</v>
      </c>
      <c r="C7">
        <f>'Cash Flow'!C5</f>
        <v>6767</v>
      </c>
      <c r="D7">
        <f>'Cash Flow'!D5</f>
        <v>5564</v>
      </c>
      <c r="E7" s="1">
        <f t="shared" si="0"/>
        <v>0.31848341232227484</v>
      </c>
    </row>
    <row r="8" spans="1:5" x14ac:dyDescent="0.3">
      <c r="A8" t="s">
        <v>22</v>
      </c>
      <c r="B8" s="1">
        <f>'Cash Flow'!B7</f>
        <v>0.14174868160290216</v>
      </c>
      <c r="C8" s="1">
        <f>'Cash Flow'!C7</f>
        <v>0.21281881938547662</v>
      </c>
      <c r="D8" s="1">
        <f>'Cash Flow'!D7</f>
        <v>0.16773182201856987</v>
      </c>
      <c r="E8" s="1">
        <f t="shared" si="0"/>
        <v>0.18330428277602917</v>
      </c>
    </row>
    <row r="9" spans="1:5" x14ac:dyDescent="0.3">
      <c r="A9" t="s">
        <v>26</v>
      </c>
      <c r="B9" s="1">
        <f>'Balance Sheet'!B9</f>
        <v>0.45964562253574653</v>
      </c>
      <c r="C9" s="1">
        <f>'Balance Sheet'!C9</f>
        <v>0.48386148797570649</v>
      </c>
      <c r="D9" s="1">
        <f>'Balance Sheet'!D9</f>
        <v>0.49303909952606634</v>
      </c>
      <c r="E9" s="1">
        <f t="shared" si="0"/>
        <v>7.2650484097067203E-2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Snehil Kejriwal</dc:creator>
  <cp:lastModifiedBy>Snehil Kejriwal</cp:lastModifiedBy>
  <dcterms:created xsi:type="dcterms:W3CDTF">2026-06-10T07:34:49Z</dcterms:created>
  <dcterms:modified xsi:type="dcterms:W3CDTF">2026-06-10T08:27:45Z</dcterms:modified>
</cp:coreProperties>
</file>